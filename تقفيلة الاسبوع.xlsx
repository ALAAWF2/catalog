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xr:revisionPtr revIDLastSave="0" documentId="8_{C56A28CA-EC82-4CCA-9443-9B1F973A2248}" xr6:coauthVersionLast="47" xr6:coauthVersionMax="47" xr10:uidLastSave="{00000000-0000-0000-0000-000000000000}"/>
  <workbookProtection workbookAlgorithmName="SHA-512" workbookHashValue="jKP6FO72kbMdrK1Wbn3Koqjqfge8fbgSafpu9J1TgKjPcpabrGFl1ubvelQ4NiCECYiL3wulNnI+KAz9AuBenw==" workbookSaltValue="f+MYjE1AKgOV2pl61yAnjg==" workbookSpinCount="100000" lockStructure="1"/>
  <bookViews>
    <workbookView xWindow="-120" yWindow="-120" windowWidth="29040" windowHeight="15720" xr2:uid="{00000000-000D-0000-FFFF-FFFF00000000}"/>
  </bookViews>
  <sheets>
    <sheet name="تقرير المبيعات الاسبوعي" sheetId="3" r:id="rId1"/>
    <sheet name="Map" sheetId="4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3" l="1"/>
  <c r="M18" i="3"/>
  <c r="D17" i="3"/>
  <c r="M15" i="3"/>
  <c r="M14" i="3"/>
  <c r="M13" i="3"/>
  <c r="D12" i="3"/>
  <c r="L20" i="3"/>
  <c r="K20" i="3"/>
  <c r="C4" i="4"/>
  <c r="J20" i="3"/>
  <c r="A37" i="3"/>
  <c r="I20" i="3"/>
  <c r="G20" i="3"/>
  <c r="F20" i="3"/>
  <c r="M12" i="3" l="1"/>
  <c r="D18" i="3"/>
  <c r="M17" i="3"/>
  <c r="D16" i="3"/>
  <c r="D15" i="3"/>
  <c r="D14" i="3"/>
  <c r="H20" i="3"/>
  <c r="D13" i="3"/>
  <c r="K22" i="3"/>
  <c r="I22" i="3"/>
  <c r="B5" i="4"/>
  <c r="C5" i="4" s="1"/>
  <c r="B6" i="4" s="1"/>
  <c r="C6" i="4" s="1"/>
  <c r="B7" i="4" s="1"/>
  <c r="C7" i="4" s="1"/>
  <c r="B8" i="4" s="1"/>
  <c r="C8" i="4" s="1"/>
  <c r="B9" i="4" s="1"/>
  <c r="C9" i="4" s="1"/>
  <c r="B10" i="4" s="1"/>
  <c r="C10" i="4" s="1"/>
  <c r="B11" i="4" s="1"/>
  <c r="C11" i="4" s="1"/>
  <c r="B12" i="4" s="1"/>
  <c r="C12" i="4" s="1"/>
  <c r="B13" i="4" s="1"/>
  <c r="C13" i="4" s="1"/>
  <c r="B14" i="4" s="1"/>
  <c r="C14" i="4" s="1"/>
  <c r="B15" i="4" s="1"/>
  <c r="C15" i="4" s="1"/>
  <c r="B16" i="4" s="1"/>
  <c r="C16" i="4" s="1"/>
  <c r="B17" i="4" s="1"/>
  <c r="C17" i="4" s="1"/>
  <c r="B18" i="4" s="1"/>
  <c r="C18" i="4" s="1"/>
  <c r="B19" i="4" s="1"/>
  <c r="C19" i="4" s="1"/>
  <c r="B20" i="4" s="1"/>
  <c r="C20" i="4" s="1"/>
  <c r="B21" i="4" s="1"/>
  <c r="C21" i="4" s="1"/>
  <c r="B22" i="4" s="1"/>
  <c r="C22" i="4" s="1"/>
  <c r="B23" i="4" s="1"/>
  <c r="C23" i="4" s="1"/>
  <c r="B24" i="4" s="1"/>
  <c r="C24" i="4" s="1"/>
  <c r="B25" i="4" s="1"/>
  <c r="C25" i="4" s="1"/>
  <c r="B26" i="4" s="1"/>
  <c r="C26" i="4" s="1"/>
  <c r="B27" i="4" s="1"/>
  <c r="C27" i="4" s="1"/>
  <c r="B28" i="4" s="1"/>
  <c r="C28" i="4" s="1"/>
  <c r="B29" i="4" s="1"/>
  <c r="C29" i="4" s="1"/>
  <c r="B30" i="4" s="1"/>
  <c r="C30" i="4" s="1"/>
  <c r="B31" i="4" s="1"/>
  <c r="C31" i="4" s="1"/>
  <c r="B32" i="4" s="1"/>
  <c r="C32" i="4" s="1"/>
  <c r="B33" i="4" s="1"/>
  <c r="D5" i="3" s="1"/>
  <c r="M20" i="3" l="1"/>
  <c r="F28" i="3" s="1"/>
  <c r="D20" i="3"/>
  <c r="D7" i="3" s="1"/>
  <c r="C33" i="4"/>
  <c r="B34" i="4" s="1"/>
  <c r="C34" i="4" s="1"/>
  <c r="B35" i="4" s="1"/>
  <c r="C35" i="4" s="1"/>
  <c r="B36" i="4" s="1"/>
  <c r="C36" i="4" s="1"/>
  <c r="B37" i="4" s="1"/>
  <c r="C37" i="4" s="1"/>
  <c r="B38" i="4" s="1"/>
  <c r="C38" i="4" s="1"/>
  <c r="B39" i="4" s="1"/>
  <c r="C39" i="4" s="1"/>
  <c r="B40" i="4" s="1"/>
  <c r="C40" i="4" s="1"/>
  <c r="B41" i="4" s="1"/>
  <c r="C41" i="4" s="1"/>
  <c r="B42" i="4" s="1"/>
  <c r="C42" i="4" s="1"/>
  <c r="B43" i="4" s="1"/>
  <c r="C43" i="4" s="1"/>
  <c r="B44" i="4" s="1"/>
  <c r="C44" i="4" s="1"/>
  <c r="B45" i="4" s="1"/>
  <c r="C45" i="4" s="1"/>
  <c r="B46" i="4" s="1"/>
  <c r="C46" i="4" s="1"/>
  <c r="B47" i="4" s="1"/>
  <c r="C47" i="4" s="1"/>
  <c r="B48" i="4" s="1"/>
  <c r="C48" i="4" s="1"/>
  <c r="B49" i="4" s="1"/>
  <c r="C49" i="4" s="1"/>
  <c r="B50" i="4" s="1"/>
  <c r="C50" i="4" s="1"/>
  <c r="B51" i="4" s="1"/>
  <c r="C51" i="4" s="1"/>
  <c r="B52" i="4" s="1"/>
  <c r="C52" i="4" s="1"/>
  <c r="B53" i="4" s="1"/>
  <c r="C53" i="4" s="1"/>
  <c r="B54" i="4" s="1"/>
  <c r="C54" i="4" s="1"/>
  <c r="B55" i="4" s="1"/>
  <c r="C55" i="4" s="1"/>
  <c r="J5" i="3"/>
  <c r="B12" i="3"/>
  <c r="B13" i="3" s="1"/>
  <c r="B14" i="3" s="1"/>
  <c r="B15" i="3" s="1"/>
  <c r="B16" i="3" s="1"/>
  <c r="B17" i="3" s="1"/>
  <c r="B18" i="3" s="1"/>
  <c r="F32" i="3" l="1"/>
</calcChain>
</file>

<file path=xl/sharedStrings.xml><?xml version="1.0" encoding="utf-8"?>
<sst xmlns="http://schemas.openxmlformats.org/spreadsheetml/2006/main" count="151" uniqueCount="150">
  <si>
    <t xml:space="preserve">اليوم </t>
  </si>
  <si>
    <t xml:space="preserve">التاريخ </t>
  </si>
  <si>
    <t xml:space="preserve">العدد </t>
  </si>
  <si>
    <t xml:space="preserve">القيمة </t>
  </si>
  <si>
    <t xml:space="preserve">الأحد </t>
  </si>
  <si>
    <t xml:space="preserve">الاثنين </t>
  </si>
  <si>
    <t xml:space="preserve">الثلاثاء </t>
  </si>
  <si>
    <t xml:space="preserve">الأربعاء </t>
  </si>
  <si>
    <t xml:space="preserve">الخميس </t>
  </si>
  <si>
    <t xml:space="preserve">الجمعة </t>
  </si>
  <si>
    <t xml:space="preserve">المعرض : </t>
  </si>
  <si>
    <t>الأسبوع :</t>
  </si>
  <si>
    <t>من تاريخ :</t>
  </si>
  <si>
    <t>الى تاريخ :</t>
  </si>
  <si>
    <t xml:space="preserve">اسم و توقيع مدير المعرض </t>
  </si>
  <si>
    <t xml:space="preserve"> </t>
  </si>
  <si>
    <t>التاريخ</t>
  </si>
  <si>
    <t xml:space="preserve">قيمة المبيعات </t>
  </si>
  <si>
    <t xml:space="preserve">الإجمالي </t>
  </si>
  <si>
    <t xml:space="preserve">السبت </t>
  </si>
  <si>
    <t>صافي مبيعات تمارا</t>
  </si>
  <si>
    <t>To:</t>
  </si>
  <si>
    <t>From:</t>
  </si>
  <si>
    <t>#</t>
  </si>
  <si>
    <t>00-Website Orange</t>
  </si>
  <si>
    <t>01-Jeddah INT Market</t>
  </si>
  <si>
    <t>03-Aziz Mall</t>
  </si>
  <si>
    <t>04-Andalos Mall</t>
  </si>
  <si>
    <t>05-Haifa Mall</t>
  </si>
  <si>
    <t>06-Red Sea Mall</t>
  </si>
  <si>
    <t>07-Arab Mall</t>
  </si>
  <si>
    <t>08-Makkah Mall</t>
  </si>
  <si>
    <t>09-Al-Salam Mall</t>
  </si>
  <si>
    <t>11-Jouri Mall</t>
  </si>
  <si>
    <t>12-Al_Hamra Mall</t>
  </si>
  <si>
    <t>13-Al-Yasmin Mall</t>
  </si>
  <si>
    <t>14-Al Kamal Mall</t>
  </si>
  <si>
    <t>15-Riyadh Othaim Mall</t>
  </si>
  <si>
    <t>16-Ehsa Othaim Mall</t>
  </si>
  <si>
    <t>17-Arar Othaim Mall</t>
  </si>
  <si>
    <t>18-Al_Khayyat Center</t>
  </si>
  <si>
    <t>19-Hail Othaim Mall</t>
  </si>
  <si>
    <t>20-Sitten Street Makkah</t>
  </si>
  <si>
    <t>21-Abha Al_Rashid Mall New</t>
  </si>
  <si>
    <t>22-Tabuk Park</t>
  </si>
  <si>
    <t>23-Alia Mall Madinah</t>
  </si>
  <si>
    <t>24-Yanbu Dana Mall</t>
  </si>
  <si>
    <t>25-Rabwa Othaim Mall</t>
  </si>
  <si>
    <t>26-Al-Noor Mall Madinah</t>
  </si>
  <si>
    <t>27-Dhahran Mall khobar</t>
  </si>
  <si>
    <t>28-Al Nakheel Mall Dammam</t>
  </si>
  <si>
    <t>29-Al Nakheel Mall Riyadh</t>
  </si>
  <si>
    <t>30-Tala Mall Riyadh</t>
  </si>
  <si>
    <t>32-Atyaf Mall Riyadh</t>
  </si>
  <si>
    <t>36-Al jubail Mall</t>
  </si>
  <si>
    <t>38-Al_Riyadh Park</t>
  </si>
  <si>
    <t>39-Salam Mall Riyadh</t>
  </si>
  <si>
    <t>40-Hayat Mall Riyad</t>
  </si>
  <si>
    <t>41-Khamis Avenue</t>
  </si>
  <si>
    <t>42-Dareen Mall Dammam</t>
  </si>
  <si>
    <t>43-Mujan Park</t>
  </si>
  <si>
    <t>44-Al-Jouf Center</t>
  </si>
  <si>
    <t>45- Riyadh Gallery Mall</t>
  </si>
  <si>
    <t>46-Khaleej Mall Riyadh</t>
  </si>
  <si>
    <t>47-Al-Nakheel Plaza</t>
  </si>
  <si>
    <t>48 - Jeddah Park</t>
  </si>
  <si>
    <t>49-AlAhsa Mall</t>
  </si>
  <si>
    <t>50-Meem Plaza Riyadh</t>
  </si>
  <si>
    <t>51-Park Avenue Riyadh</t>
  </si>
  <si>
    <t>52-Al_Baha Mall</t>
  </si>
  <si>
    <t>53-Al Basateen Mall</t>
  </si>
  <si>
    <t>Warehouse</t>
  </si>
  <si>
    <t>اجمالي المصاريف</t>
  </si>
  <si>
    <t>اجمالي الايداعات</t>
  </si>
  <si>
    <t>الرصيد المرحل للأسبوع القادم</t>
  </si>
  <si>
    <t>الرصيد من الأسبوع السابق</t>
  </si>
  <si>
    <t>صافي النقد الواجب ايداعه بالبنك</t>
  </si>
  <si>
    <t xml:space="preserve">صافي النقد للايداع </t>
  </si>
  <si>
    <t xml:space="preserve">تمارا </t>
  </si>
  <si>
    <t>اجمالي المبيعات الأسبوعية</t>
  </si>
  <si>
    <t>المستودع</t>
  </si>
  <si>
    <t>سوق جدة الدولي</t>
  </si>
  <si>
    <t>الحمراء مول</t>
  </si>
  <si>
    <t>الكمال مول</t>
  </si>
  <si>
    <t>خريص الرياض العثيم</t>
  </si>
  <si>
    <t>عرعر</t>
  </si>
  <si>
    <t>حائل</t>
  </si>
  <si>
    <t>طاسان</t>
  </si>
  <si>
    <t>ابها</t>
  </si>
  <si>
    <t>عالية مول المدينة المنورة</t>
  </si>
  <si>
    <t>الدانة مول ينبع</t>
  </si>
  <si>
    <t>نور مول المدينة</t>
  </si>
  <si>
    <t>الرياض بارك</t>
  </si>
  <si>
    <t>حياة مول</t>
  </si>
  <si>
    <t>خميس افنيو</t>
  </si>
  <si>
    <t>مركز دارين</t>
  </si>
  <si>
    <t>موجان بارك خميس مشيط</t>
  </si>
  <si>
    <t>الجوف</t>
  </si>
  <si>
    <t>الرياض غالري</t>
  </si>
  <si>
    <t>الخليج مول الرياض</t>
  </si>
  <si>
    <t>النخيل بريدة القصيم</t>
  </si>
  <si>
    <t>جدة بارك</t>
  </si>
  <si>
    <t>الاحساء المراكز العربية</t>
  </si>
  <si>
    <t>ميم بلازا الرياض</t>
  </si>
  <si>
    <t>بارك افنيو الرياض</t>
  </si>
  <si>
    <t>الباحة مول</t>
  </si>
  <si>
    <t>البساتين مول</t>
  </si>
  <si>
    <t>ميديا</t>
  </si>
  <si>
    <t>عزيز مول</t>
  </si>
  <si>
    <t>الاندلس مول</t>
  </si>
  <si>
    <t>هيفاء مول</t>
  </si>
  <si>
    <t>رد سي مول</t>
  </si>
  <si>
    <t>العرب مول</t>
  </si>
  <si>
    <t>مكة مول</t>
  </si>
  <si>
    <t>السلام مول جدة</t>
  </si>
  <si>
    <t>الجوري مول</t>
  </si>
  <si>
    <t>الياسمين مول</t>
  </si>
  <si>
    <t xml:space="preserve">مركز الخياط </t>
  </si>
  <si>
    <t>تبوك مول</t>
  </si>
  <si>
    <t>الربوة مول</t>
  </si>
  <si>
    <t>الظهران مول</t>
  </si>
  <si>
    <t>النخيل مول الدمام</t>
  </si>
  <si>
    <t>النخيل مول الرياض</t>
  </si>
  <si>
    <t>تالا مول الرياض</t>
  </si>
  <si>
    <t>اطياف مول الرياض</t>
  </si>
  <si>
    <t>الجبيل مول</t>
  </si>
  <si>
    <t>السلام مول الرياض</t>
  </si>
  <si>
    <t>مرتجعات تمارا</t>
  </si>
  <si>
    <t>مبيعات تمارا</t>
  </si>
  <si>
    <t>الأحساء العثيم</t>
  </si>
  <si>
    <t>54-THE VILLAGE</t>
  </si>
  <si>
    <t>فيليج مول</t>
  </si>
  <si>
    <t>سوق النخيل جبل عمر</t>
  </si>
  <si>
    <t>55- Jabl Omar</t>
  </si>
  <si>
    <t>العزيز مول 2</t>
  </si>
  <si>
    <t>56- Aziz Mall 2</t>
  </si>
  <si>
    <t>مبلغ العهدة</t>
  </si>
  <si>
    <t>اسم و توقيع البائع</t>
  </si>
  <si>
    <t>اسم وتوقيع المدير</t>
  </si>
  <si>
    <t>اسم وتوقيع البائع</t>
  </si>
  <si>
    <t>57-Sauq7</t>
  </si>
  <si>
    <t>سوق 7</t>
  </si>
  <si>
    <t>مبيعات تابي</t>
  </si>
  <si>
    <t>مرتجعات تابي</t>
  </si>
  <si>
    <t>تابي</t>
  </si>
  <si>
    <t>صافي مبيعات تابي</t>
  </si>
  <si>
    <t>5 + 3 + 1</t>
  </si>
  <si>
    <t>File V5</t>
  </si>
  <si>
    <t>المبيعات البنكية بالصافي</t>
  </si>
  <si>
    <t>المبيعات النقدية بالصافي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</si>
</sst>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-[$ر.س.‏-401]\ * #,##0.00_-;_-[$ر.س.‏-401]\ * #,##0.00\-;_-[$ر.س.‏-401]\ * &quot;-&quot;??_-;_-@_-"/>
    <numFmt numFmtId="166" formatCode="&quot;W &quot;###0\ "/>
  </numFmts>
  <fonts count="2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20"/>
      <color theme="1"/>
      <name val="Calibri"/>
      <family val="2"/>
      <charset val="178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charset val="178"/>
      <scheme val="minor"/>
    </font>
    <font>
      <b/>
      <sz val="22"/>
      <color theme="1"/>
      <name val="2D-Code6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2D-Code6"/>
      <family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charset val="178"/>
      <scheme val="minor"/>
    </font>
    <font>
      <sz val="10"/>
      <name val="Arial"/>
      <family val="2"/>
    </font>
    <font>
      <sz val="2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0"/>
      <name val="Arial"/>
      <family val="2"/>
    </font>
    <font>
      <sz val="10"/>
      <color indexed="8"/>
      <name val="DejaVu Sans"/>
    </font>
    <font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3" fillId="0" borderId="0"/>
    <xf numFmtId="0" fontId="18" fillId="0" borderId="0"/>
  </cellStyleXfs>
  <cellXfs count="9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3" fillId="0" borderId="0" xfId="2"/>
    <xf numFmtId="166" fontId="13" fillId="0" borderId="0" xfId="2" applyNumberFormat="1"/>
    <xf numFmtId="14" fontId="13" fillId="0" borderId="0" xfId="2" applyNumberFormat="1"/>
    <xf numFmtId="165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4" fontId="12" fillId="2" borderId="2" xfId="0" applyNumberFormat="1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64" fontId="7" fillId="2" borderId="2" xfId="1" applyNumberFormat="1" applyFont="1" applyFill="1" applyBorder="1" applyAlignment="1" applyProtection="1">
      <alignment horizontal="center" vertical="center"/>
    </xf>
    <xf numFmtId="0" fontId="10" fillId="0" borderId="0" xfId="0" applyFont="1" applyAlignment="1">
      <alignment vertical="center"/>
    </xf>
    <xf numFmtId="44" fontId="10" fillId="0" borderId="0" xfId="0" applyNumberFormat="1" applyFont="1" applyAlignment="1">
      <alignment vertical="center"/>
    </xf>
    <xf numFmtId="14" fontId="7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3" fontId="7" fillId="0" borderId="2" xfId="1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164" fontId="7" fillId="0" borderId="2" xfId="1" applyNumberFormat="1" applyFont="1" applyFill="1" applyBorder="1" applyAlignment="1" applyProtection="1">
      <alignment horizontal="center" vertical="center"/>
      <protection locked="0"/>
    </xf>
    <xf numFmtId="3" fontId="11" fillId="0" borderId="2" xfId="1" applyNumberFormat="1" applyFont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9" fillId="0" borderId="27" xfId="3" applyFont="1" applyBorder="1" applyAlignment="1">
      <alignment horizontal="left" wrapText="1"/>
    </xf>
    <xf numFmtId="164" fontId="7" fillId="0" borderId="2" xfId="1" applyNumberFormat="1" applyFont="1" applyFill="1" applyBorder="1" applyAlignment="1" applyProtection="1">
      <alignment horizontal="center" vertical="center"/>
    </xf>
    <xf numFmtId="0" fontId="0" fillId="0" borderId="28" xfId="0" applyBorder="1" applyAlignment="1">
      <alignment vertical="center"/>
    </xf>
    <xf numFmtId="0" fontId="0" fillId="0" borderId="0" xfId="0" applyAlignment="1">
      <alignment horizontal="left" vertical="center"/>
    </xf>
    <xf numFmtId="14" fontId="20" fillId="0" borderId="0" xfId="0" applyNumberFormat="1" applyFont="1" applyAlignment="1">
      <alignment horizontal="center" vertical="center"/>
    </xf>
    <xf numFmtId="14" fontId="20" fillId="0" borderId="0" xfId="0" applyNumberFormat="1" applyFont="1" applyAlignment="1" applyProtection="1">
      <alignment horizontal="center" vertical="center"/>
      <protection locked="0"/>
    </xf>
    <xf numFmtId="0" fontId="4" fillId="2" borderId="1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7" fillId="0" borderId="4" xfId="1" applyNumberFormat="1" applyFont="1" applyBorder="1" applyAlignment="1" applyProtection="1">
      <alignment horizontal="center" vertical="center"/>
    </xf>
    <xf numFmtId="164" fontId="7" fillId="0" borderId="11" xfId="1" applyNumberFormat="1" applyFont="1" applyBorder="1" applyAlignment="1" applyProtection="1">
      <alignment horizontal="center" vertical="center"/>
    </xf>
    <xf numFmtId="164" fontId="7" fillId="0" borderId="5" xfId="1" applyNumberFormat="1" applyFont="1" applyBorder="1" applyAlignment="1" applyProtection="1">
      <alignment horizontal="center" vertical="center"/>
    </xf>
    <xf numFmtId="164" fontId="7" fillId="0" borderId="4" xfId="1" applyNumberFormat="1" applyFont="1" applyBorder="1" applyAlignment="1" applyProtection="1">
      <alignment horizontal="center" vertical="center"/>
      <protection locked="0"/>
    </xf>
    <xf numFmtId="164" fontId="7" fillId="0" borderId="5" xfId="1" applyNumberFormat="1" applyFont="1" applyBorder="1" applyAlignment="1" applyProtection="1">
      <alignment horizontal="center" vertical="center"/>
      <protection locked="0"/>
    </xf>
    <xf numFmtId="164" fontId="7" fillId="2" borderId="4" xfId="1" applyNumberFormat="1" applyFont="1" applyFill="1" applyBorder="1" applyAlignment="1" applyProtection="1">
      <alignment horizontal="center" vertical="center"/>
    </xf>
    <xf numFmtId="164" fontId="7" fillId="2" borderId="5" xfId="1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0" fontId="15" fillId="2" borderId="2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3" fontId="4" fillId="2" borderId="8" xfId="1" applyNumberFormat="1" applyFont="1" applyFill="1" applyBorder="1" applyAlignment="1" applyProtection="1">
      <alignment horizontal="center" vertical="center"/>
    </xf>
    <xf numFmtId="3" fontId="4" fillId="2" borderId="9" xfId="1" applyNumberFormat="1" applyFont="1" applyFill="1" applyBorder="1" applyAlignment="1" applyProtection="1">
      <alignment horizontal="center" vertical="center"/>
    </xf>
    <xf numFmtId="3" fontId="4" fillId="2" borderId="10" xfId="1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3" fontId="3" fillId="2" borderId="22" xfId="0" applyNumberFormat="1" applyFont="1" applyFill="1" applyBorder="1" applyAlignment="1">
      <alignment horizontal="center" vertical="center"/>
    </xf>
    <xf numFmtId="3" fontId="3" fillId="2" borderId="23" xfId="0" applyNumberFormat="1" applyFont="1" applyFill="1" applyBorder="1" applyAlignment="1">
      <alignment horizontal="center" vertical="center"/>
    </xf>
    <xf numFmtId="3" fontId="3" fillId="2" borderId="24" xfId="0" applyNumberFormat="1" applyFont="1" applyFill="1" applyBorder="1" applyAlignment="1">
      <alignment horizontal="center" vertical="center"/>
    </xf>
    <xf numFmtId="0" fontId="16" fillId="0" borderId="0" xfId="0" applyFont="1" applyAlignment="1" applyProtection="1">
      <alignment horizontal="right" vertical="center" readingOrder="2"/>
      <protection locked="0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3" fillId="2" borderId="22" xfId="0" applyNumberFormat="1" applyFont="1" applyFill="1" applyBorder="1" applyAlignment="1">
      <alignment horizontal="center" vertical="center"/>
    </xf>
    <xf numFmtId="164" fontId="3" fillId="2" borderId="23" xfId="0" applyNumberFormat="1" applyFont="1" applyFill="1" applyBorder="1" applyAlignment="1">
      <alignment horizontal="center" vertical="center"/>
    </xf>
    <xf numFmtId="164" fontId="3" fillId="2" borderId="24" xfId="0" applyNumberFormat="1" applyFont="1" applyFill="1" applyBorder="1" applyAlignment="1">
      <alignment horizontal="center" vertical="center"/>
    </xf>
    <xf numFmtId="164" fontId="7" fillId="2" borderId="22" xfId="1" applyNumberFormat="1" applyFont="1" applyFill="1" applyBorder="1" applyAlignment="1" applyProtection="1">
      <alignment horizontal="center" vertical="center"/>
    </xf>
    <xf numFmtId="164" fontId="7" fillId="2" borderId="23" xfId="1" applyNumberFormat="1" applyFont="1" applyFill="1" applyBorder="1" applyAlignment="1" applyProtection="1">
      <alignment horizontal="center" vertical="center"/>
    </xf>
    <xf numFmtId="164" fontId="7" fillId="2" borderId="24" xfId="1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/>
    </xf>
    <xf numFmtId="164" fontId="3" fillId="2" borderId="13" xfId="0" applyNumberFormat="1" applyFont="1" applyFill="1" applyBorder="1" applyAlignment="1">
      <alignment horizontal="center"/>
    </xf>
    <xf numFmtId="3" fontId="3" fillId="2" borderId="14" xfId="0" applyNumberFormat="1" applyFont="1" applyFill="1" applyBorder="1" applyAlignment="1">
      <alignment horizontal="center" vertical="center"/>
    </xf>
    <xf numFmtId="3" fontId="3" fillId="2" borderId="15" xfId="0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A5F2BCE1-0DE1-4B22-9F9A-97026D8C7DAD}"/>
    <cellStyle name="Normal 3" xfId="3" xr:uid="{F2AD5FB2-06DE-4276-9F3E-8517D77E1298}"/>
  </cellStyles>
  <dxfs count="0"/>
  <tableStyles count="1" defaultTableStyle="TableStyleMedium2" defaultPivotStyle="PivotStyleLight16">
    <tableStyle name="Invisible" pivot="0" table="0" count="0" xr9:uid="{18AABD22-F701-4903-8351-6CDD0D4C74B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CFAF-3CC9-451B-B248-894CB6AD3A4F}">
  <sheetPr>
    <pageSetUpPr fitToPage="1"/>
  </sheetPr>
  <dimension ref="A2:Q39"/>
  <sheetViews>
    <sheetView showGridLines="0" showRowColHeaders="0" rightToLeft="1" tabSelected="1" topLeftCell="A2" zoomScale="40" zoomScaleNormal="40" workbookViewId="0">
      <selection activeCell="N18" sqref="N12:N18"/>
    </sheetView>
  </sheetViews>
  <sheetFormatPr defaultColWidth="0" defaultRowHeight="15" zeroHeight="1"/>
  <cols>
    <col min="1" max="1" width="10.42578125" style="1" customWidth="1"/>
    <col min="2" max="2" width="21.85546875" style="1" customWidth="1"/>
    <col min="3" max="3" width="0.5703125" style="1" customWidth="1"/>
    <col min="4" max="4" width="26.42578125" style="1" customWidth="1"/>
    <col min="5" max="5" width="2.140625" style="1" customWidth="1"/>
    <col min="6" max="6" width="12.42578125" style="1" customWidth="1"/>
    <col min="7" max="7" width="21" style="1" customWidth="1"/>
    <col min="8" max="8" width="21.42578125" style="1" customWidth="1"/>
    <col min="9" max="9" width="22" style="1" customWidth="1"/>
    <col min="10" max="10" width="24.85546875" style="1" bestFit="1" customWidth="1"/>
    <col min="11" max="12" width="22" style="1" customWidth="1"/>
    <col min="13" max="13" width="26.42578125" style="1" hidden="1" customWidth="1"/>
    <col min="14" max="14" width="22.42578125" style="1" customWidth="1"/>
    <col min="15" max="16" width="35.85546875" style="1" customWidth="1"/>
    <col min="17" max="17" width="5.42578125" style="1" customWidth="1"/>
    <col min="18" max="16384" width="9.140625" style="1" hidden="1"/>
  </cols>
  <sheetData>
    <row r="2" spans="1:16">
      <c r="D2" s="7"/>
    </row>
    <row r="3" spans="1:16" s="2" customFormat="1" ht="27.75" customHeight="1">
      <c r="B3" s="34" t="s">
        <v>10</v>
      </c>
      <c r="C3" s="34"/>
      <c r="D3" s="78" t="s">
        <v>82</v>
      </c>
      <c r="E3" s="78"/>
      <c r="F3" s="78"/>
      <c r="G3" s="78"/>
      <c r="H3" s="35"/>
      <c r="I3" s="36" t="s">
        <v>12</v>
      </c>
      <c r="J3" s="45">
        <v>46173</v>
      </c>
      <c r="K3" s="45"/>
      <c r="L3" s="45"/>
      <c r="M3" s="35"/>
    </row>
    <row r="4" spans="1:16" s="2" customFormat="1" ht="27.75" customHeight="1">
      <c r="B4" s="34"/>
      <c r="C4" s="34"/>
      <c r="D4" s="35"/>
      <c r="E4" s="35"/>
      <c r="F4" s="35"/>
      <c r="G4" s="37"/>
      <c r="H4" s="35"/>
      <c r="I4" s="37"/>
      <c r="J4" s="35"/>
      <c r="K4" s="35"/>
      <c r="L4" s="35"/>
      <c r="M4" s="35"/>
    </row>
    <row r="5" spans="1:16" s="2" customFormat="1" ht="33.75">
      <c r="B5" s="34" t="s">
        <v>11</v>
      </c>
      <c r="C5" s="34"/>
      <c r="D5" s="35">
        <f>IFERROR(VLOOKUP($J$3,Map!$B:$D,3),"")</f>
        <v>22</v>
      </c>
      <c r="E5" s="35"/>
      <c r="F5" s="35"/>
      <c r="G5" s="37"/>
      <c r="H5" s="35"/>
      <c r="I5" s="36" t="s">
        <v>13</v>
      </c>
      <c r="J5" s="44">
        <f>+J3+6</f>
        <v>46179</v>
      </c>
      <c r="K5" s="44"/>
      <c r="L5" s="44"/>
      <c r="M5" s="35"/>
    </row>
    <row r="6" spans="1:16" s="2" customFormat="1" ht="29.25" thickBot="1">
      <c r="A6" s="8"/>
      <c r="B6" s="10"/>
      <c r="C6" s="10"/>
      <c r="F6" s="3"/>
      <c r="G6" s="11"/>
      <c r="J6" s="11"/>
      <c r="K6" s="11"/>
      <c r="L6" s="11"/>
    </row>
    <row r="7" spans="1:16" ht="60" customHeight="1" thickTop="1" thickBot="1">
      <c r="A7" s="65" t="s">
        <v>79</v>
      </c>
      <c r="B7" s="66"/>
      <c r="C7" s="12"/>
      <c r="D7" s="67" t="str">
        <f>D20</f>
        <v/>
      </c>
      <c r="E7" s="68"/>
      <c r="F7" s="69"/>
      <c r="H7" s="9"/>
      <c r="I7" s="9"/>
      <c r="J7" s="9"/>
      <c r="K7" s="9"/>
      <c r="L7" s="9"/>
      <c r="M7" s="9"/>
      <c r="N7" s="9"/>
      <c r="O7" s="9"/>
      <c r="P7" s="9"/>
    </row>
    <row r="8" spans="1:16" ht="29.25" customHeight="1" thickTop="1" thickBot="1">
      <c r="G8" s="1" t="s">
        <v>15</v>
      </c>
    </row>
    <row r="9" spans="1:16" ht="27.75" customHeight="1" thickTop="1" thickBot="1">
      <c r="A9" s="70" t="s">
        <v>0</v>
      </c>
      <c r="B9" s="70" t="s">
        <v>1</v>
      </c>
      <c r="C9" s="13"/>
      <c r="D9" s="70" t="s">
        <v>17</v>
      </c>
      <c r="F9" s="71" t="s">
        <v>148</v>
      </c>
      <c r="G9" s="72"/>
      <c r="H9" s="14">
        <v>1</v>
      </c>
      <c r="I9" s="14">
        <v>2</v>
      </c>
      <c r="J9" s="14">
        <v>3</v>
      </c>
      <c r="K9" s="14">
        <v>4</v>
      </c>
      <c r="L9" s="14">
        <v>5</v>
      </c>
      <c r="M9" s="14" t="s">
        <v>146</v>
      </c>
      <c r="N9" s="14">
        <v>6</v>
      </c>
      <c r="O9" s="46" t="s">
        <v>138</v>
      </c>
      <c r="P9" s="46" t="s">
        <v>139</v>
      </c>
    </row>
    <row r="10" spans="1:16" ht="27.75" customHeight="1" thickTop="1" thickBot="1">
      <c r="A10" s="70"/>
      <c r="B10" s="70"/>
      <c r="C10" s="13"/>
      <c r="D10" s="70"/>
      <c r="F10" s="73"/>
      <c r="G10" s="74"/>
      <c r="H10" s="57" t="s">
        <v>149</v>
      </c>
      <c r="I10" s="79" t="s">
        <v>78</v>
      </c>
      <c r="J10" s="80"/>
      <c r="K10" s="79" t="s">
        <v>144</v>
      </c>
      <c r="L10" s="80"/>
      <c r="M10" s="46" t="s">
        <v>77</v>
      </c>
      <c r="N10" s="46" t="s">
        <v>136</v>
      </c>
      <c r="O10" s="47"/>
      <c r="P10" s="47"/>
    </row>
    <row r="11" spans="1:16" ht="33.75" customHeight="1" thickTop="1" thickBot="1">
      <c r="A11" s="70"/>
      <c r="B11" s="70"/>
      <c r="C11" s="13"/>
      <c r="D11" s="70"/>
      <c r="F11" s="15" t="s">
        <v>2</v>
      </c>
      <c r="G11" s="14" t="s">
        <v>3</v>
      </c>
      <c r="H11" s="58"/>
      <c r="I11" s="14" t="s">
        <v>128</v>
      </c>
      <c r="J11" s="14" t="s">
        <v>127</v>
      </c>
      <c r="K11" s="14" t="s">
        <v>142</v>
      </c>
      <c r="L11" s="14" t="s">
        <v>143</v>
      </c>
      <c r="M11" s="48"/>
      <c r="N11" s="48"/>
      <c r="O11" s="48"/>
      <c r="P11" s="48"/>
    </row>
    <row r="12" spans="1:16" ht="75.75" customHeight="1" thickTop="1" thickBot="1">
      <c r="A12" s="16" t="s">
        <v>4</v>
      </c>
      <c r="B12" s="17">
        <f>+J3</f>
        <v>46173</v>
      </c>
      <c r="C12" s="18"/>
      <c r="D12" s="19" t="str">
        <f>IFERROR(IF((G12+H12+I12+K12-J12-L12)=0,"",G12+H12+I12+K12-J12-L12),"")</f>
        <v/>
      </c>
      <c r="F12" s="32"/>
      <c r="G12" s="24"/>
      <c r="H12" s="24"/>
      <c r="I12" s="24"/>
      <c r="J12" s="24"/>
      <c r="K12" s="24"/>
      <c r="L12" s="24"/>
      <c r="M12" s="19" t="str">
        <f>IF((H12)=0,"",H12)</f>
        <v/>
      </c>
      <c r="N12" s="32"/>
      <c r="O12" s="41"/>
      <c r="P12" s="41"/>
    </row>
    <row r="13" spans="1:16" ht="75.75" customHeight="1" thickTop="1" thickBot="1">
      <c r="A13" s="16" t="s">
        <v>5</v>
      </c>
      <c r="B13" s="17">
        <f t="shared" ref="B13:B18" si="0">+B12+1</f>
        <v>46174</v>
      </c>
      <c r="C13" s="18"/>
      <c r="D13" s="19" t="str">
        <f t="shared" ref="D13:D18" si="1">IFERROR(IF((G13+H13+I13+K13-J13-L13)=0,"",G13+H13+I13+K13-J13-L13),"")</f>
        <v/>
      </c>
      <c r="E13" s="20"/>
      <c r="F13" s="32"/>
      <c r="G13" s="33"/>
      <c r="H13" s="24"/>
      <c r="I13" s="24"/>
      <c r="J13" s="24"/>
      <c r="K13" s="24"/>
      <c r="L13" s="24"/>
      <c r="M13" s="19" t="str">
        <f t="shared" ref="M13:M18" si="2">IF((H13)=0,"",H13)</f>
        <v/>
      </c>
      <c r="N13" s="32"/>
      <c r="O13" s="41"/>
      <c r="P13" s="41"/>
    </row>
    <row r="14" spans="1:16" ht="75.75" customHeight="1" thickTop="1" thickBot="1">
      <c r="A14" s="16" t="s">
        <v>6</v>
      </c>
      <c r="B14" s="17">
        <f t="shared" si="0"/>
        <v>46175</v>
      </c>
      <c r="C14" s="18"/>
      <c r="D14" s="19" t="str">
        <f t="shared" si="1"/>
        <v/>
      </c>
      <c r="E14" s="20"/>
      <c r="F14" s="32"/>
      <c r="G14" s="24"/>
      <c r="H14" s="24"/>
      <c r="I14" s="24"/>
      <c r="J14" s="24"/>
      <c r="K14" s="24"/>
      <c r="L14" s="24"/>
      <c r="M14" s="19" t="str">
        <f t="shared" si="2"/>
        <v/>
      </c>
      <c r="N14" s="32"/>
      <c r="O14" s="41"/>
      <c r="P14" s="41"/>
    </row>
    <row r="15" spans="1:16" ht="75.75" customHeight="1" thickTop="1" thickBot="1">
      <c r="A15" s="16" t="s">
        <v>7</v>
      </c>
      <c r="B15" s="17">
        <f t="shared" si="0"/>
        <v>46176</v>
      </c>
      <c r="C15" s="18"/>
      <c r="D15" s="19" t="str">
        <f t="shared" si="1"/>
        <v/>
      </c>
      <c r="E15" s="20"/>
      <c r="F15" s="32"/>
      <c r="G15" s="24"/>
      <c r="H15" s="24"/>
      <c r="I15" s="24"/>
      <c r="J15" s="24"/>
      <c r="K15" s="24"/>
      <c r="L15" s="24"/>
      <c r="M15" s="19" t="str">
        <f t="shared" si="2"/>
        <v/>
      </c>
      <c r="N15" s="32"/>
      <c r="O15" s="41"/>
      <c r="P15" s="41"/>
    </row>
    <row r="16" spans="1:16" ht="75.75" customHeight="1" thickTop="1" thickBot="1">
      <c r="A16" s="16" t="s">
        <v>8</v>
      </c>
      <c r="B16" s="17">
        <f t="shared" si="0"/>
        <v>46177</v>
      </c>
      <c r="C16" s="18"/>
      <c r="D16" s="19" t="str">
        <f>IFERROR(IF((G16+H16+I16+K16-J16-L16)=0,"",G16+H16+I16+K16-J16-L16),"")</f>
        <v/>
      </c>
      <c r="E16" s="20"/>
      <c r="F16" s="32"/>
      <c r="G16" s="24"/>
      <c r="H16" s="24"/>
      <c r="I16" s="24"/>
      <c r="J16" s="24"/>
      <c r="K16" s="24"/>
      <c r="L16" s="24"/>
      <c r="M16" s="19" t="str">
        <f t="shared" si="2"/>
        <v/>
      </c>
      <c r="N16" s="32"/>
      <c r="O16" s="41"/>
      <c r="P16" s="41"/>
    </row>
    <row r="17" spans="1:16" ht="75.75" customHeight="1" thickTop="1" thickBot="1">
      <c r="A17" s="16" t="s">
        <v>9</v>
      </c>
      <c r="B17" s="17">
        <f t="shared" si="0"/>
        <v>46178</v>
      </c>
      <c r="C17" s="18"/>
      <c r="D17" s="19" t="str">
        <f t="shared" si="1"/>
        <v/>
      </c>
      <c r="E17" s="20"/>
      <c r="F17" s="32"/>
      <c r="G17" s="24"/>
      <c r="H17" s="24"/>
      <c r="I17" s="24"/>
      <c r="J17" s="24"/>
      <c r="K17" s="24"/>
      <c r="L17" s="24"/>
      <c r="M17" s="19" t="str">
        <f t="shared" si="2"/>
        <v/>
      </c>
      <c r="N17" s="32"/>
      <c r="O17" s="41"/>
      <c r="P17" s="41"/>
    </row>
    <row r="18" spans="1:16" ht="75.75" customHeight="1" thickTop="1" thickBot="1">
      <c r="A18" s="16" t="s">
        <v>19</v>
      </c>
      <c r="B18" s="17">
        <f t="shared" si="0"/>
        <v>46179</v>
      </c>
      <c r="C18" s="18"/>
      <c r="D18" s="19" t="str">
        <f t="shared" si="1"/>
        <v/>
      </c>
      <c r="E18" s="20"/>
      <c r="F18" s="32"/>
      <c r="G18" s="24"/>
      <c r="H18" s="24"/>
      <c r="I18" s="24"/>
      <c r="J18" s="24"/>
      <c r="K18" s="24"/>
      <c r="L18" s="24"/>
      <c r="M18" s="19" t="str">
        <f t="shared" si="2"/>
        <v/>
      </c>
      <c r="N18" s="32"/>
      <c r="O18" s="41"/>
      <c r="P18" s="41"/>
    </row>
    <row r="19" spans="1:16" ht="10.5" customHeight="1" thickTop="1" thickBot="1">
      <c r="A19" s="20"/>
      <c r="B19" s="20"/>
      <c r="C19" s="20"/>
      <c r="D19" s="21"/>
      <c r="E19" s="20"/>
      <c r="F19" s="28"/>
      <c r="G19" s="28"/>
      <c r="H19" s="29"/>
      <c r="I19" s="29"/>
      <c r="J19" s="28"/>
      <c r="K19" s="28"/>
      <c r="L19" s="28"/>
      <c r="M19" s="28"/>
      <c r="N19" s="28"/>
      <c r="O19" s="28"/>
      <c r="P19" s="28"/>
    </row>
    <row r="20" spans="1:16" ht="40.5" customHeight="1" thickTop="1" thickBot="1">
      <c r="A20" s="59" t="s">
        <v>18</v>
      </c>
      <c r="B20" s="60"/>
      <c r="C20" s="31"/>
      <c r="D20" s="81" t="str">
        <f>IF(SUM(D12:D19)=0,"",SUM(D12:D19))</f>
        <v/>
      </c>
      <c r="E20" s="20"/>
      <c r="F20" s="84" t="str">
        <f t="shared" ref="F20:M20" si="3">IF(SUM(F12:F18)=0,"",SUM(F12:F18))</f>
        <v/>
      </c>
      <c r="G20" s="75" t="str">
        <f t="shared" si="3"/>
        <v/>
      </c>
      <c r="H20" s="75">
        <f>SUM(H12:H18)</f>
        <v>0</v>
      </c>
      <c r="I20" s="30" t="str">
        <f t="shared" si="3"/>
        <v/>
      </c>
      <c r="J20" s="30" t="str">
        <f t="shared" si="3"/>
        <v/>
      </c>
      <c r="K20" s="30" t="str">
        <f t="shared" si="3"/>
        <v/>
      </c>
      <c r="L20" s="30" t="str">
        <f t="shared" si="3"/>
        <v/>
      </c>
      <c r="M20" s="75" t="str">
        <f t="shared" si="3"/>
        <v/>
      </c>
      <c r="N20" s="87"/>
      <c r="O20"/>
      <c r="P20"/>
    </row>
    <row r="21" spans="1:16" ht="28.5" customHeight="1" thickTop="1">
      <c r="A21" s="61"/>
      <c r="B21" s="62"/>
      <c r="C21" s="31"/>
      <c r="D21" s="82"/>
      <c r="E21" s="20"/>
      <c r="F21" s="85"/>
      <c r="G21" s="76"/>
      <c r="H21" s="76"/>
      <c r="I21" s="88" t="s">
        <v>20</v>
      </c>
      <c r="J21" s="89"/>
      <c r="K21" s="88" t="s">
        <v>145</v>
      </c>
      <c r="L21" s="89"/>
      <c r="M21" s="76"/>
      <c r="N21" s="87"/>
      <c r="O21"/>
      <c r="P21"/>
    </row>
    <row r="22" spans="1:16" ht="42" customHeight="1" thickBot="1">
      <c r="A22" s="63"/>
      <c r="B22" s="64"/>
      <c r="C22" s="31"/>
      <c r="D22" s="83"/>
      <c r="E22" s="20"/>
      <c r="F22" s="86"/>
      <c r="G22" s="77"/>
      <c r="H22" s="77"/>
      <c r="I22" s="90" t="str">
        <f>IFERROR(I20-J20,"")</f>
        <v/>
      </c>
      <c r="J22" s="91"/>
      <c r="K22" s="90" t="str">
        <f>IFERROR(K20-L20,"")</f>
        <v/>
      </c>
      <c r="L22" s="91"/>
      <c r="M22" s="77"/>
      <c r="N22" s="87"/>
      <c r="O22"/>
      <c r="P22"/>
    </row>
    <row r="23" spans="1:16" s="3" customFormat="1" ht="45" customHeight="1" thickTop="1" thickBot="1"/>
    <row r="24" spans="1:16" ht="45.75" customHeight="1" thickTop="1" thickBot="1">
      <c r="A24" s="50" t="s">
        <v>75</v>
      </c>
      <c r="B24" s="51"/>
      <c r="C24" s="51"/>
      <c r="D24" s="52"/>
      <c r="E24" s="20"/>
      <c r="F24" s="53"/>
      <c r="G24" s="54"/>
      <c r="M24" s="10"/>
      <c r="N24" s="10"/>
      <c r="O24" s="10"/>
    </row>
    <row r="25" spans="1:16" ht="30" thickTop="1" thickBot="1">
      <c r="C25" s="20"/>
      <c r="I25" s="38" t="s">
        <v>14</v>
      </c>
      <c r="J25" s="42"/>
      <c r="K25" s="42"/>
      <c r="L25" s="42"/>
      <c r="M25" s="42"/>
      <c r="N25" s="42"/>
    </row>
    <row r="26" spans="1:16" ht="45.75" customHeight="1" thickTop="1" thickBot="1">
      <c r="A26" s="50" t="s">
        <v>72</v>
      </c>
      <c r="B26" s="51"/>
      <c r="C26" s="51"/>
      <c r="D26" s="52"/>
      <c r="E26" s="20"/>
      <c r="F26" s="53"/>
      <c r="G26" s="54"/>
      <c r="I26" s="43"/>
      <c r="P26" s="27"/>
    </row>
    <row r="27" spans="1:16" ht="16.5" customHeight="1" thickTop="1" thickBot="1">
      <c r="C27" s="20"/>
      <c r="I27" s="43"/>
    </row>
    <row r="28" spans="1:16" ht="45.75" customHeight="1" thickTop="1" thickBot="1">
      <c r="A28" s="50" t="s">
        <v>76</v>
      </c>
      <c r="B28" s="51"/>
      <c r="C28" s="51"/>
      <c r="D28" s="52"/>
      <c r="E28" s="20"/>
      <c r="F28" s="55" t="str">
        <f>IFERROR(IF((F24-F26+M20)=0,"",F24-F26+M20),"")</f>
        <v/>
      </c>
      <c r="G28" s="56"/>
      <c r="I28" s="38" t="s">
        <v>137</v>
      </c>
      <c r="J28" s="42"/>
      <c r="K28" s="42"/>
      <c r="L28" s="42"/>
      <c r="M28" s="42"/>
      <c r="N28" s="42"/>
    </row>
    <row r="29" spans="1:16" ht="16.5" thickTop="1" thickBot="1">
      <c r="C29" s="20"/>
      <c r="I29" s="43"/>
    </row>
    <row r="30" spans="1:16" ht="45.75" customHeight="1" thickTop="1" thickBot="1">
      <c r="A30" s="50" t="s">
        <v>73</v>
      </c>
      <c r="B30" s="51"/>
      <c r="C30" s="51"/>
      <c r="D30" s="52"/>
      <c r="E30" s="20"/>
      <c r="F30" s="53"/>
      <c r="G30" s="54"/>
      <c r="I30" s="43"/>
      <c r="P30" s="27"/>
    </row>
    <row r="31" spans="1:16" ht="16.5" customHeight="1" thickTop="1" thickBot="1">
      <c r="C31" s="20"/>
      <c r="I31" s="20"/>
    </row>
    <row r="32" spans="1:16" ht="45.75" customHeight="1" thickTop="1" thickBot="1">
      <c r="A32" s="50" t="s">
        <v>74</v>
      </c>
      <c r="B32" s="51"/>
      <c r="C32" s="51"/>
      <c r="D32" s="52"/>
      <c r="E32" s="20"/>
      <c r="F32" s="55" t="str">
        <f>IFERROR(IF((+F28-F30)=0,"",F28-F30),"")</f>
        <v/>
      </c>
      <c r="G32" s="56"/>
      <c r="I32" s="38" t="s">
        <v>16</v>
      </c>
      <c r="J32" s="42"/>
      <c r="K32" s="42"/>
      <c r="L32" s="42"/>
      <c r="M32" s="42"/>
      <c r="N32" s="42"/>
    </row>
    <row r="33" spans="1:12" ht="15.75" thickTop="1">
      <c r="C33" s="20"/>
    </row>
    <row r="34" spans="1:12">
      <c r="C34" s="20"/>
    </row>
    <row r="35" spans="1:12"/>
    <row r="36" spans="1:12" ht="25.5" customHeight="1">
      <c r="B36" s="49"/>
      <c r="C36" s="49"/>
      <c r="D36" s="49"/>
      <c r="E36" s="25"/>
      <c r="F36" s="26"/>
      <c r="G36" s="27"/>
      <c r="H36" s="26"/>
      <c r="J36" s="22"/>
      <c r="K36" s="22"/>
      <c r="L36" s="22"/>
    </row>
    <row r="37" spans="1:12" ht="28.5" customHeight="1">
      <c r="A37" s="39">
        <f>VLOOKUP(D3,Map!$I:$J,2,0)</f>
        <v>112</v>
      </c>
      <c r="B37" s="8"/>
      <c r="C37" s="8"/>
      <c r="D37" s="1" t="s">
        <v>147</v>
      </c>
      <c r="H37" s="23"/>
      <c r="I37" s="23"/>
    </row>
    <row r="38" spans="1:12"/>
    <row r="39" spans="1:12"/>
  </sheetData>
  <sheetProtection algorithmName="SHA-512" hashValue="rE4Xx15K0aeZJGR7tAMHIbOCaPaFaNcsKyvCaU5r415wV0ECk3w0CO7by55HM5QVBlkgM7G9WezjUIOrYKJ5Fg==" saltValue="eWzH0DHoZIF0CRThSuiXSw==" spinCount="100000" sheet="1" formatCells="0" formatColumns="0" formatRows="0" insertColumns="0" insertRows="0" insertHyperlinks="0" deleteColumns="0" deleteRows="0" sort="0" autoFilter="0" pivotTables="0"/>
  <dataConsolidate/>
  <mergeCells count="36">
    <mergeCell ref="N10:N11"/>
    <mergeCell ref="N20:N22"/>
    <mergeCell ref="I21:J21"/>
    <mergeCell ref="I22:J22"/>
    <mergeCell ref="M20:M22"/>
    <mergeCell ref="K10:L10"/>
    <mergeCell ref="K21:L21"/>
    <mergeCell ref="K22:L22"/>
    <mergeCell ref="G20:G22"/>
    <mergeCell ref="D3:G3"/>
    <mergeCell ref="I10:J10"/>
    <mergeCell ref="D20:D22"/>
    <mergeCell ref="F20:F22"/>
    <mergeCell ref="H20:H22"/>
    <mergeCell ref="A7:B7"/>
    <mergeCell ref="D7:F7"/>
    <mergeCell ref="B9:B11"/>
    <mergeCell ref="D9:D11"/>
    <mergeCell ref="A9:A11"/>
    <mergeCell ref="F9:G10"/>
    <mergeCell ref="O9:O11"/>
    <mergeCell ref="P9:P11"/>
    <mergeCell ref="B36:D36"/>
    <mergeCell ref="A26:D26"/>
    <mergeCell ref="F26:G26"/>
    <mergeCell ref="A32:D32"/>
    <mergeCell ref="F32:G32"/>
    <mergeCell ref="A30:D30"/>
    <mergeCell ref="F30:G30"/>
    <mergeCell ref="A28:D28"/>
    <mergeCell ref="F28:G28"/>
    <mergeCell ref="M10:M11"/>
    <mergeCell ref="H10:H11"/>
    <mergeCell ref="A24:D24"/>
    <mergeCell ref="F24:G24"/>
    <mergeCell ref="A20:B22"/>
  </mergeCells>
  <dataValidations count="8">
    <dataValidation type="decimal" operator="greaterThanOrEqual" allowBlank="1" showInputMessage="1" showErrorMessage="1" errorTitle="(((  !!! قيمة موجبة فقط )))" error="أدخل القيمة بدون اشارة السالب" sqref="F30:G30 F26:G26" xr:uid="{55278B98-15C8-48B7-971F-B5C5392F6B26}">
      <formula1>0</formula1>
    </dataValidation>
    <dataValidation type="date" allowBlank="1" showInputMessage="1" showErrorMessage="1" errorTitle="خطأ" error="أدخل التاريخ " prompt="أدخل تاريخ بداية الاسبوع (الأحد)" sqref="K3:L3" xr:uid="{D5C7D19A-DD5B-4DD9-A97E-9A0DD9CA8EA3}">
      <formula1>45662</formula1>
      <formula2>46022</formula2>
    </dataValidation>
    <dataValidation errorStyle="warning" operator="greaterThanOrEqual" allowBlank="1" showInputMessage="1" errorTitle="(((  !!! قيمة موجبة فقط )))" error="أدخل القيمة بدون اشارة السالب" sqref="M12:M18 H12:H18 F12:F18" xr:uid="{360981BE-C19E-4FE2-8A83-DB452EB21B22}"/>
    <dataValidation operator="greaterThanOrEqual" allowBlank="1" showInputMessage="1" errorTitle="(((  !!! قيمة موجبة فقط )))" error="أدخل القيمة بدون اشارة السالب" prompt="المبلغ الذي لم يتم ايداعه" sqref="F24:G24" xr:uid="{EEA3BCAB-A2DF-4AB7-89E1-4777BBBF1847}"/>
    <dataValidation type="whole" operator="greaterThanOrEqual" allowBlank="1" showInputMessage="1" showErrorMessage="1" errorTitle="(((  !!! قيمة موجبة فقط )))" error="أدخل القيمة بدون اشارة السالب" sqref="J12:L18 G12:G18" xr:uid="{8C5F2DEB-3930-4190-AF92-E02716D11BD8}">
      <formula1>0</formula1>
    </dataValidation>
    <dataValidation type="whole" errorStyle="warning" operator="greaterThanOrEqual" allowBlank="1" showInputMessage="1" showErrorMessage="1" errorTitle="(((  !!! قيمة موجبة فقط )))" error="أدخل القيمة بدون اشارة السالب" sqref="I12:I18" xr:uid="{340C0B3B-D991-400B-8B30-32F280C9A47D}">
      <formula1>0</formula1>
    </dataValidation>
    <dataValidation type="date" allowBlank="1" showInputMessage="1" showErrorMessage="1" errorTitle="خطأ" error="أدخل التاريخ " prompt="أدخل تاريخ بداية الاسبوع (الأحد)" sqref="J3" xr:uid="{2B8F970B-6D71-4636-A6DC-183222D3D591}">
      <formula1>46023</formula1>
      <formula2>46387</formula2>
    </dataValidation>
    <dataValidation type="date" allowBlank="1" showInputMessage="1" showErrorMessage="1" sqref="J3" xr:uid="{D8311B4F-BF5F-4487-BA26-05266BB73010}">
      <formula1>46023</formula1>
      <formula2>46387</formula2>
    </dataValidation>
  </dataValidations>
  <printOptions horizontalCentered="1"/>
  <pageMargins left="0.3" right="0.28000000000000003" top="0.52" bottom="0.3" header="0.31496062992126" footer="0.31496062992126"/>
  <pageSetup paperSize="9" scale="39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DB240E-1CC2-459F-9922-4382F6264AF2}">
          <x14:formula1>
            <xm:f>Map!$I$5:$I$50</xm:f>
          </x14:formula1>
          <xm:sqref>K3:L3</xm:sqref>
        </x14:dataValidation>
        <x14:dataValidation type="list" allowBlank="1" showInputMessage="1" showErrorMessage="1" promptTitle="اختر  اسم المعرض من القائمة" prompt="_x000a_( السهم على اليسار )" xr:uid="{066B1896-7F8D-4A03-ABE5-51045F1D39BD}">
          <x14:formula1>
            <xm:f>Map!$I$5:$I$54</xm:f>
          </x14:formula1>
          <xm:sqref>D3:G3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CF95-C398-4B32-B821-FEE0645EDD91}">
  <dimension ref="A2:J56"/>
  <sheetViews>
    <sheetView topLeftCell="A41" workbookViewId="0">
      <selection activeCell="C55" sqref="C55"/>
    </sheetView>
  </sheetViews>
  <sheetFormatPr defaultColWidth="9" defaultRowHeight="15"/>
  <cols>
    <col min="1" max="1" width="9.140625" customWidth="1"/>
    <col min="2" max="2" width="10.7109375" style="4" customWidth="1"/>
    <col min="3" max="3" width="11.5703125" style="4" customWidth="1"/>
    <col min="4" max="4" width="5.28515625" style="5" bestFit="1" customWidth="1"/>
    <col min="5" max="7" width="9" style="4"/>
    <col min="8" max="8" width="22.42578125" style="4" bestFit="1" customWidth="1"/>
    <col min="9" max="9" width="14.5703125" style="4" bestFit="1" customWidth="1"/>
    <col min="10" max="10" width="17.85546875" style="4" bestFit="1" customWidth="1"/>
    <col min="11" max="16384" width="9" style="4"/>
  </cols>
  <sheetData>
    <row r="2" spans="2:10">
      <c r="B2" s="6" t="s">
        <v>22</v>
      </c>
      <c r="C2" s="6" t="s">
        <v>21</v>
      </c>
      <c r="D2" s="5" t="s">
        <v>23</v>
      </c>
    </row>
    <row r="3" spans="2:10">
      <c r="B3" s="6">
        <v>46023</v>
      </c>
      <c r="C3" s="6">
        <v>46025</v>
      </c>
      <c r="D3" s="5">
        <v>0</v>
      </c>
    </row>
    <row r="4" spans="2:10">
      <c r="B4" s="6">
        <v>46026</v>
      </c>
      <c r="C4" s="6">
        <f>B4+6</f>
        <v>46032</v>
      </c>
      <c r="D4" s="5">
        <v>1</v>
      </c>
      <c r="H4" s="4" t="s">
        <v>24</v>
      </c>
      <c r="I4" s="4" t="s">
        <v>80</v>
      </c>
      <c r="J4" s="4">
        <v>202</v>
      </c>
    </row>
    <row r="5" spans="2:10">
      <c r="B5" s="6">
        <f t="shared" ref="B5:B36" si="0">C4+1</f>
        <v>46033</v>
      </c>
      <c r="C5" s="6">
        <f t="shared" ref="C5:C35" si="1">B5+6</f>
        <v>46039</v>
      </c>
      <c r="D5" s="5">
        <v>2</v>
      </c>
      <c r="H5" s="4" t="s">
        <v>25</v>
      </c>
      <c r="I5" s="4" t="s">
        <v>81</v>
      </c>
      <c r="J5" s="4">
        <v>101</v>
      </c>
    </row>
    <row r="6" spans="2:10">
      <c r="B6" s="6">
        <f t="shared" si="0"/>
        <v>46040</v>
      </c>
      <c r="C6" s="6">
        <f t="shared" si="1"/>
        <v>46046</v>
      </c>
      <c r="D6" s="5">
        <v>3</v>
      </c>
      <c r="H6" s="4" t="s">
        <v>26</v>
      </c>
      <c r="I6" s="4" t="s">
        <v>108</v>
      </c>
      <c r="J6" s="4">
        <v>103</v>
      </c>
    </row>
    <row r="7" spans="2:10">
      <c r="B7" s="6">
        <f t="shared" si="0"/>
        <v>46047</v>
      </c>
      <c r="C7" s="6">
        <f t="shared" si="1"/>
        <v>46053</v>
      </c>
      <c r="D7" s="5">
        <v>4</v>
      </c>
      <c r="H7" s="4" t="s">
        <v>27</v>
      </c>
      <c r="I7" s="4" t="s">
        <v>109</v>
      </c>
      <c r="J7" s="4">
        <v>104</v>
      </c>
    </row>
    <row r="8" spans="2:10">
      <c r="B8" s="6">
        <f t="shared" si="0"/>
        <v>46054</v>
      </c>
      <c r="C8" s="6">
        <f t="shared" si="1"/>
        <v>46060</v>
      </c>
      <c r="D8" s="5">
        <v>5</v>
      </c>
      <c r="H8" s="4" t="s">
        <v>28</v>
      </c>
      <c r="I8" s="4" t="s">
        <v>110</v>
      </c>
      <c r="J8" s="4">
        <v>105</v>
      </c>
    </row>
    <row r="9" spans="2:10">
      <c r="B9" s="6">
        <f t="shared" si="0"/>
        <v>46061</v>
      </c>
      <c r="C9" s="6">
        <f t="shared" si="1"/>
        <v>46067</v>
      </c>
      <c r="D9" s="5">
        <v>6</v>
      </c>
      <c r="H9" s="4" t="s">
        <v>29</v>
      </c>
      <c r="I9" s="4" t="s">
        <v>111</v>
      </c>
      <c r="J9" s="4">
        <v>106</v>
      </c>
    </row>
    <row r="10" spans="2:10">
      <c r="B10" s="6">
        <f t="shared" si="0"/>
        <v>46068</v>
      </c>
      <c r="C10" s="6">
        <f t="shared" si="1"/>
        <v>46074</v>
      </c>
      <c r="D10" s="5">
        <v>7</v>
      </c>
      <c r="H10" s="4" t="s">
        <v>30</v>
      </c>
      <c r="I10" s="4" t="s">
        <v>112</v>
      </c>
      <c r="J10" s="4">
        <v>107</v>
      </c>
    </row>
    <row r="11" spans="2:10">
      <c r="B11" s="6">
        <f t="shared" si="0"/>
        <v>46075</v>
      </c>
      <c r="C11" s="6">
        <f t="shared" si="1"/>
        <v>46081</v>
      </c>
      <c r="D11" s="5">
        <v>8</v>
      </c>
      <c r="H11" s="4" t="s">
        <v>31</v>
      </c>
      <c r="I11" s="4" t="s">
        <v>113</v>
      </c>
      <c r="J11" s="4">
        <v>108</v>
      </c>
    </row>
    <row r="12" spans="2:10">
      <c r="B12" s="6">
        <f t="shared" si="0"/>
        <v>46082</v>
      </c>
      <c r="C12" s="6">
        <f t="shared" si="1"/>
        <v>46088</v>
      </c>
      <c r="D12" s="5">
        <v>9</v>
      </c>
      <c r="H12" s="4" t="s">
        <v>32</v>
      </c>
      <c r="I12" s="4" t="s">
        <v>114</v>
      </c>
      <c r="J12" s="4">
        <v>109</v>
      </c>
    </row>
    <row r="13" spans="2:10">
      <c r="B13" s="6">
        <f t="shared" si="0"/>
        <v>46089</v>
      </c>
      <c r="C13" s="6">
        <f t="shared" si="1"/>
        <v>46095</v>
      </c>
      <c r="D13" s="5">
        <v>10</v>
      </c>
      <c r="H13" s="4" t="s">
        <v>33</v>
      </c>
      <c r="I13" s="4" t="s">
        <v>115</v>
      </c>
      <c r="J13" s="4">
        <v>111</v>
      </c>
    </row>
    <row r="14" spans="2:10">
      <c r="B14" s="6">
        <f t="shared" si="0"/>
        <v>46096</v>
      </c>
      <c r="C14" s="6">
        <f t="shared" si="1"/>
        <v>46102</v>
      </c>
      <c r="D14" s="5">
        <v>11</v>
      </c>
      <c r="H14" s="4" t="s">
        <v>34</v>
      </c>
      <c r="I14" s="4" t="s">
        <v>82</v>
      </c>
      <c r="J14" s="4">
        <v>112</v>
      </c>
    </row>
    <row r="15" spans="2:10">
      <c r="B15" s="6">
        <f t="shared" si="0"/>
        <v>46103</v>
      </c>
      <c r="C15" s="6">
        <f t="shared" si="1"/>
        <v>46109</v>
      </c>
      <c r="D15" s="5">
        <v>12</v>
      </c>
      <c r="H15" s="4" t="s">
        <v>35</v>
      </c>
      <c r="I15" s="4" t="s">
        <v>116</v>
      </c>
      <c r="J15" s="4">
        <v>113</v>
      </c>
    </row>
    <row r="16" spans="2:10">
      <c r="B16" s="6">
        <f t="shared" si="0"/>
        <v>46110</v>
      </c>
      <c r="C16" s="6">
        <f t="shared" si="1"/>
        <v>46116</v>
      </c>
      <c r="D16" s="5">
        <v>13</v>
      </c>
      <c r="H16" s="4" t="s">
        <v>36</v>
      </c>
      <c r="I16" s="4" t="s">
        <v>83</v>
      </c>
      <c r="J16" s="4">
        <v>114</v>
      </c>
    </row>
    <row r="17" spans="2:10">
      <c r="B17" s="6">
        <f t="shared" si="0"/>
        <v>46117</v>
      </c>
      <c r="C17" s="6">
        <f t="shared" si="1"/>
        <v>46123</v>
      </c>
      <c r="D17" s="5">
        <v>14</v>
      </c>
      <c r="H17" s="4" t="s">
        <v>37</v>
      </c>
      <c r="I17" s="4" t="s">
        <v>84</v>
      </c>
      <c r="J17" s="4">
        <v>115</v>
      </c>
    </row>
    <row r="18" spans="2:10">
      <c r="B18" s="6">
        <f t="shared" si="0"/>
        <v>46124</v>
      </c>
      <c r="C18" s="6">
        <f t="shared" si="1"/>
        <v>46130</v>
      </c>
      <c r="D18" s="5">
        <v>15</v>
      </c>
      <c r="H18" s="4" t="s">
        <v>38</v>
      </c>
      <c r="I18" s="4" t="s">
        <v>129</v>
      </c>
      <c r="J18" s="4">
        <v>116</v>
      </c>
    </row>
    <row r="19" spans="2:10">
      <c r="B19" s="6">
        <f t="shared" si="0"/>
        <v>46131</v>
      </c>
      <c r="C19" s="6">
        <f t="shared" si="1"/>
        <v>46137</v>
      </c>
      <c r="D19" s="5">
        <v>16</v>
      </c>
      <c r="H19" s="4" t="s">
        <v>39</v>
      </c>
      <c r="I19" s="4" t="s">
        <v>85</v>
      </c>
      <c r="J19" s="4">
        <v>117</v>
      </c>
    </row>
    <row r="20" spans="2:10">
      <c r="B20" s="6">
        <f t="shared" si="0"/>
        <v>46138</v>
      </c>
      <c r="C20" s="6">
        <f t="shared" si="1"/>
        <v>46144</v>
      </c>
      <c r="D20" s="5">
        <v>17</v>
      </c>
      <c r="H20" s="4" t="s">
        <v>40</v>
      </c>
      <c r="I20" s="4" t="s">
        <v>117</v>
      </c>
      <c r="J20" s="4">
        <v>118</v>
      </c>
    </row>
    <row r="21" spans="2:10">
      <c r="B21" s="6">
        <f t="shared" si="0"/>
        <v>46145</v>
      </c>
      <c r="C21" s="6">
        <f t="shared" si="1"/>
        <v>46151</v>
      </c>
      <c r="D21" s="5">
        <v>18</v>
      </c>
      <c r="H21" s="4" t="s">
        <v>41</v>
      </c>
      <c r="I21" s="4" t="s">
        <v>86</v>
      </c>
      <c r="J21" s="4">
        <v>119</v>
      </c>
    </row>
    <row r="22" spans="2:10">
      <c r="B22" s="6">
        <f t="shared" si="0"/>
        <v>46152</v>
      </c>
      <c r="C22" s="6">
        <f t="shared" si="1"/>
        <v>46158</v>
      </c>
      <c r="D22" s="5">
        <v>19</v>
      </c>
      <c r="H22" s="4" t="s">
        <v>42</v>
      </c>
      <c r="I22" s="4" t="s">
        <v>87</v>
      </c>
      <c r="J22" s="4">
        <v>120</v>
      </c>
    </row>
    <row r="23" spans="2:10">
      <c r="B23" s="6">
        <f t="shared" si="0"/>
        <v>46159</v>
      </c>
      <c r="C23" s="6">
        <f t="shared" si="1"/>
        <v>46165</v>
      </c>
      <c r="D23" s="5">
        <v>20</v>
      </c>
      <c r="H23" s="4" t="s">
        <v>43</v>
      </c>
      <c r="I23" s="4" t="s">
        <v>88</v>
      </c>
      <c r="J23" s="4">
        <v>121</v>
      </c>
    </row>
    <row r="24" spans="2:10">
      <c r="B24" s="6">
        <f t="shared" si="0"/>
        <v>46166</v>
      </c>
      <c r="C24" s="6">
        <f t="shared" si="1"/>
        <v>46172</v>
      </c>
      <c r="D24" s="5">
        <v>21</v>
      </c>
      <c r="H24" s="4" t="s">
        <v>44</v>
      </c>
      <c r="I24" s="4" t="s">
        <v>118</v>
      </c>
      <c r="J24" s="4">
        <v>122</v>
      </c>
    </row>
    <row r="25" spans="2:10">
      <c r="B25" s="6">
        <f t="shared" si="0"/>
        <v>46173</v>
      </c>
      <c r="C25" s="6">
        <f t="shared" si="1"/>
        <v>46179</v>
      </c>
      <c r="D25" s="5">
        <v>22</v>
      </c>
      <c r="H25" s="4" t="s">
        <v>45</v>
      </c>
      <c r="I25" s="4" t="s">
        <v>89</v>
      </c>
      <c r="J25" s="4">
        <v>123</v>
      </c>
    </row>
    <row r="26" spans="2:10">
      <c r="B26" s="6">
        <f t="shared" si="0"/>
        <v>46180</v>
      </c>
      <c r="C26" s="6">
        <f t="shared" si="1"/>
        <v>46186</v>
      </c>
      <c r="D26" s="5">
        <v>23</v>
      </c>
      <c r="H26" s="4" t="s">
        <v>46</v>
      </c>
      <c r="I26" s="4" t="s">
        <v>90</v>
      </c>
      <c r="J26" s="4">
        <v>124</v>
      </c>
    </row>
    <row r="27" spans="2:10">
      <c r="B27" s="6">
        <f t="shared" si="0"/>
        <v>46187</v>
      </c>
      <c r="C27" s="6">
        <f t="shared" si="1"/>
        <v>46193</v>
      </c>
      <c r="D27" s="5">
        <v>24</v>
      </c>
      <c r="H27" s="4" t="s">
        <v>47</v>
      </c>
      <c r="I27" s="4" t="s">
        <v>119</v>
      </c>
      <c r="J27" s="4">
        <v>125</v>
      </c>
    </row>
    <row r="28" spans="2:10">
      <c r="B28" s="6">
        <f t="shared" si="0"/>
        <v>46194</v>
      </c>
      <c r="C28" s="6">
        <f t="shared" si="1"/>
        <v>46200</v>
      </c>
      <c r="D28" s="5">
        <v>25</v>
      </c>
      <c r="H28" s="4" t="s">
        <v>48</v>
      </c>
      <c r="I28" s="4" t="s">
        <v>91</v>
      </c>
      <c r="J28" s="4">
        <v>126</v>
      </c>
    </row>
    <row r="29" spans="2:10">
      <c r="B29" s="6">
        <f t="shared" si="0"/>
        <v>46201</v>
      </c>
      <c r="C29" s="6">
        <f t="shared" si="1"/>
        <v>46207</v>
      </c>
      <c r="D29" s="5">
        <v>26</v>
      </c>
      <c r="H29" s="4" t="s">
        <v>49</v>
      </c>
      <c r="I29" s="4" t="s">
        <v>120</v>
      </c>
      <c r="J29" s="4">
        <v>127</v>
      </c>
    </row>
    <row r="30" spans="2:10">
      <c r="B30" s="6">
        <f t="shared" si="0"/>
        <v>46208</v>
      </c>
      <c r="C30" s="6">
        <f t="shared" si="1"/>
        <v>46214</v>
      </c>
      <c r="D30" s="5">
        <v>27</v>
      </c>
      <c r="H30" s="4" t="s">
        <v>50</v>
      </c>
      <c r="I30" s="4" t="s">
        <v>121</v>
      </c>
      <c r="J30" s="4">
        <v>128</v>
      </c>
    </row>
    <row r="31" spans="2:10">
      <c r="B31" s="6">
        <f t="shared" si="0"/>
        <v>46215</v>
      </c>
      <c r="C31" s="6">
        <f t="shared" si="1"/>
        <v>46221</v>
      </c>
      <c r="D31" s="5">
        <v>28</v>
      </c>
      <c r="H31" s="4" t="s">
        <v>51</v>
      </c>
      <c r="I31" s="4" t="s">
        <v>122</v>
      </c>
      <c r="J31" s="4">
        <v>129</v>
      </c>
    </row>
    <row r="32" spans="2:10">
      <c r="B32" s="6">
        <f t="shared" si="0"/>
        <v>46222</v>
      </c>
      <c r="C32" s="6">
        <f t="shared" si="1"/>
        <v>46228</v>
      </c>
      <c r="D32" s="5">
        <v>29</v>
      </c>
      <c r="H32" s="4" t="s">
        <v>52</v>
      </c>
      <c r="I32" s="4" t="s">
        <v>123</v>
      </c>
      <c r="J32" s="4">
        <v>130</v>
      </c>
    </row>
    <row r="33" spans="2:10">
      <c r="B33" s="6">
        <f t="shared" si="0"/>
        <v>46229</v>
      </c>
      <c r="C33" s="6">
        <f t="shared" si="1"/>
        <v>46235</v>
      </c>
      <c r="D33" s="5">
        <v>30</v>
      </c>
      <c r="H33" s="4" t="s">
        <v>53</v>
      </c>
      <c r="I33" s="4" t="s">
        <v>124</v>
      </c>
      <c r="J33" s="4">
        <v>132</v>
      </c>
    </row>
    <row r="34" spans="2:10">
      <c r="B34" s="6">
        <f t="shared" si="0"/>
        <v>46236</v>
      </c>
      <c r="C34" s="6">
        <f t="shared" si="1"/>
        <v>46242</v>
      </c>
      <c r="D34" s="5">
        <v>31</v>
      </c>
      <c r="H34" s="4" t="s">
        <v>54</v>
      </c>
      <c r="I34" s="4" t="s">
        <v>125</v>
      </c>
      <c r="J34" s="4">
        <v>136</v>
      </c>
    </row>
    <row r="35" spans="2:10">
      <c r="B35" s="6">
        <f t="shared" si="0"/>
        <v>46243</v>
      </c>
      <c r="C35" s="6">
        <f t="shared" si="1"/>
        <v>46249</v>
      </c>
      <c r="D35" s="5">
        <v>32</v>
      </c>
      <c r="H35" s="4" t="s">
        <v>55</v>
      </c>
      <c r="I35" s="4" t="s">
        <v>92</v>
      </c>
      <c r="J35" s="4">
        <v>138</v>
      </c>
    </row>
    <row r="36" spans="2:10">
      <c r="B36" s="6">
        <f t="shared" si="0"/>
        <v>46250</v>
      </c>
      <c r="C36" s="6">
        <f t="shared" ref="C36:C55" si="2">B36+6</f>
        <v>46256</v>
      </c>
      <c r="D36" s="5">
        <v>33</v>
      </c>
      <c r="H36" s="4" t="s">
        <v>56</v>
      </c>
      <c r="I36" s="4" t="s">
        <v>126</v>
      </c>
      <c r="J36" s="4">
        <v>139</v>
      </c>
    </row>
    <row r="37" spans="2:10">
      <c r="B37" s="6">
        <f t="shared" ref="B37:B55" si="3">C36+1</f>
        <v>46257</v>
      </c>
      <c r="C37" s="6">
        <f t="shared" si="2"/>
        <v>46263</v>
      </c>
      <c r="D37" s="5">
        <v>34</v>
      </c>
      <c r="H37" s="4" t="s">
        <v>57</v>
      </c>
      <c r="I37" s="4" t="s">
        <v>93</v>
      </c>
      <c r="J37" s="4">
        <v>140</v>
      </c>
    </row>
    <row r="38" spans="2:10">
      <c r="B38" s="6">
        <f t="shared" si="3"/>
        <v>46264</v>
      </c>
      <c r="C38" s="6">
        <f t="shared" si="2"/>
        <v>46270</v>
      </c>
      <c r="D38" s="5">
        <v>35</v>
      </c>
      <c r="H38" s="4" t="s">
        <v>58</v>
      </c>
      <c r="I38" s="4" t="s">
        <v>94</v>
      </c>
      <c r="J38" s="4">
        <v>141</v>
      </c>
    </row>
    <row r="39" spans="2:10">
      <c r="B39" s="6">
        <f t="shared" si="3"/>
        <v>46271</v>
      </c>
      <c r="C39" s="6">
        <f t="shared" si="2"/>
        <v>46277</v>
      </c>
      <c r="D39" s="5">
        <v>36</v>
      </c>
      <c r="H39" s="4" t="s">
        <v>59</v>
      </c>
      <c r="I39" s="4" t="s">
        <v>95</v>
      </c>
      <c r="J39" s="4">
        <v>142</v>
      </c>
    </row>
    <row r="40" spans="2:10">
      <c r="B40" s="6">
        <f t="shared" si="3"/>
        <v>46278</v>
      </c>
      <c r="C40" s="6">
        <f t="shared" si="2"/>
        <v>46284</v>
      </c>
      <c r="D40" s="5">
        <v>37</v>
      </c>
      <c r="H40" s="4" t="s">
        <v>60</v>
      </c>
      <c r="I40" s="4" t="s">
        <v>96</v>
      </c>
      <c r="J40" s="4">
        <v>145</v>
      </c>
    </row>
    <row r="41" spans="2:10">
      <c r="B41" s="6">
        <f t="shared" si="3"/>
        <v>46285</v>
      </c>
      <c r="C41" s="6">
        <f t="shared" si="2"/>
        <v>46291</v>
      </c>
      <c r="D41" s="5">
        <v>38</v>
      </c>
      <c r="H41" s="4" t="s">
        <v>61</v>
      </c>
      <c r="I41" s="4" t="s">
        <v>97</v>
      </c>
      <c r="J41" s="4">
        <v>144</v>
      </c>
    </row>
    <row r="42" spans="2:10">
      <c r="B42" s="6">
        <f t="shared" si="3"/>
        <v>46292</v>
      </c>
      <c r="C42" s="6">
        <f t="shared" si="2"/>
        <v>46298</v>
      </c>
      <c r="D42" s="5">
        <v>39</v>
      </c>
      <c r="H42" s="4" t="s">
        <v>62</v>
      </c>
      <c r="I42" s="4" t="s">
        <v>98</v>
      </c>
      <c r="J42" s="4">
        <v>145</v>
      </c>
    </row>
    <row r="43" spans="2:10">
      <c r="B43" s="6">
        <f t="shared" si="3"/>
        <v>46299</v>
      </c>
      <c r="C43" s="6">
        <f t="shared" si="2"/>
        <v>46305</v>
      </c>
      <c r="D43" s="5">
        <v>40</v>
      </c>
      <c r="H43" s="4" t="s">
        <v>63</v>
      </c>
      <c r="I43" s="4" t="s">
        <v>99</v>
      </c>
      <c r="J43" s="4">
        <v>146</v>
      </c>
    </row>
    <row r="44" spans="2:10">
      <c r="B44" s="6">
        <f t="shared" si="3"/>
        <v>46306</v>
      </c>
      <c r="C44" s="6">
        <f t="shared" si="2"/>
        <v>46312</v>
      </c>
      <c r="D44" s="5">
        <v>41</v>
      </c>
      <c r="H44" s="4" t="s">
        <v>64</v>
      </c>
      <c r="I44" s="4" t="s">
        <v>100</v>
      </c>
      <c r="J44" s="4">
        <v>147</v>
      </c>
    </row>
    <row r="45" spans="2:10">
      <c r="B45" s="6">
        <f t="shared" si="3"/>
        <v>46313</v>
      </c>
      <c r="C45" s="6">
        <f t="shared" si="2"/>
        <v>46319</v>
      </c>
      <c r="D45" s="5">
        <v>42</v>
      </c>
      <c r="H45" s="4" t="s">
        <v>65</v>
      </c>
      <c r="I45" s="4" t="s">
        <v>101</v>
      </c>
      <c r="J45" s="4">
        <v>148</v>
      </c>
    </row>
    <row r="46" spans="2:10">
      <c r="B46" s="6">
        <f t="shared" si="3"/>
        <v>46320</v>
      </c>
      <c r="C46" s="6">
        <f t="shared" si="2"/>
        <v>46326</v>
      </c>
      <c r="D46" s="5">
        <v>43</v>
      </c>
      <c r="H46" s="4" t="s">
        <v>66</v>
      </c>
      <c r="I46" s="4" t="s">
        <v>102</v>
      </c>
      <c r="J46" s="4">
        <v>149</v>
      </c>
    </row>
    <row r="47" spans="2:10">
      <c r="B47" s="6">
        <f t="shared" si="3"/>
        <v>46327</v>
      </c>
      <c r="C47" s="6">
        <f t="shared" si="2"/>
        <v>46333</v>
      </c>
      <c r="D47" s="5">
        <v>44</v>
      </c>
      <c r="H47" s="4" t="s">
        <v>67</v>
      </c>
      <c r="I47" s="4" t="s">
        <v>103</v>
      </c>
      <c r="J47" s="4">
        <v>150</v>
      </c>
    </row>
    <row r="48" spans="2:10">
      <c r="B48" s="6">
        <f t="shared" si="3"/>
        <v>46334</v>
      </c>
      <c r="C48" s="6">
        <f t="shared" si="2"/>
        <v>46340</v>
      </c>
      <c r="D48" s="5">
        <v>45</v>
      </c>
      <c r="H48" s="4" t="s">
        <v>68</v>
      </c>
      <c r="I48" s="4" t="s">
        <v>104</v>
      </c>
      <c r="J48" s="4">
        <v>151</v>
      </c>
    </row>
    <row r="49" spans="2:10">
      <c r="B49" s="6">
        <f t="shared" si="3"/>
        <v>46341</v>
      </c>
      <c r="C49" s="6">
        <f t="shared" si="2"/>
        <v>46347</v>
      </c>
      <c r="D49" s="5">
        <v>46</v>
      </c>
      <c r="H49" s="4" t="s">
        <v>69</v>
      </c>
      <c r="I49" s="4" t="s">
        <v>105</v>
      </c>
      <c r="J49" s="4">
        <v>152</v>
      </c>
    </row>
    <row r="50" spans="2:10">
      <c r="B50" s="6">
        <f t="shared" si="3"/>
        <v>46348</v>
      </c>
      <c r="C50" s="6">
        <f t="shared" si="2"/>
        <v>46354</v>
      </c>
      <c r="D50" s="5">
        <v>47</v>
      </c>
      <c r="H50" s="4" t="s">
        <v>70</v>
      </c>
      <c r="I50" s="4" t="s">
        <v>106</v>
      </c>
      <c r="J50" s="4">
        <v>153</v>
      </c>
    </row>
    <row r="51" spans="2:10">
      <c r="B51" s="6">
        <f t="shared" si="3"/>
        <v>46355</v>
      </c>
      <c r="C51" s="6">
        <f t="shared" si="2"/>
        <v>46361</v>
      </c>
      <c r="D51" s="5">
        <v>48</v>
      </c>
      <c r="H51" s="4" t="s">
        <v>130</v>
      </c>
      <c r="I51" s="4" t="s">
        <v>131</v>
      </c>
      <c r="J51" s="4">
        <v>154</v>
      </c>
    </row>
    <row r="52" spans="2:10">
      <c r="B52" s="6">
        <f t="shared" si="3"/>
        <v>46362</v>
      </c>
      <c r="C52" s="6">
        <f t="shared" si="2"/>
        <v>46368</v>
      </c>
      <c r="D52" s="5">
        <v>49</v>
      </c>
      <c r="H52" s="4" t="s">
        <v>133</v>
      </c>
      <c r="I52" s="4" t="s">
        <v>132</v>
      </c>
      <c r="J52" s="4">
        <v>155</v>
      </c>
    </row>
    <row r="53" spans="2:10">
      <c r="B53" s="6">
        <f t="shared" si="3"/>
        <v>46369</v>
      </c>
      <c r="C53" s="6">
        <f t="shared" si="2"/>
        <v>46375</v>
      </c>
      <c r="D53" s="5">
        <v>50</v>
      </c>
      <c r="H53" s="40" t="s">
        <v>135</v>
      </c>
      <c r="I53" s="4" t="s">
        <v>134</v>
      </c>
      <c r="J53" s="4">
        <v>156</v>
      </c>
    </row>
    <row r="54" spans="2:10">
      <c r="B54" s="6">
        <f t="shared" si="3"/>
        <v>46376</v>
      </c>
      <c r="C54" s="6">
        <f t="shared" si="2"/>
        <v>46382</v>
      </c>
      <c r="D54" s="5">
        <v>51</v>
      </c>
      <c r="H54" s="4" t="s">
        <v>140</v>
      </c>
      <c r="I54" s="4" t="s">
        <v>141</v>
      </c>
      <c r="J54" s="4">
        <v>157</v>
      </c>
    </row>
    <row r="55" spans="2:10">
      <c r="B55" s="6">
        <f t="shared" si="3"/>
        <v>46383</v>
      </c>
      <c r="C55" s="6">
        <f t="shared" si="2"/>
        <v>46389</v>
      </c>
      <c r="D55" s="5">
        <v>52</v>
      </c>
    </row>
    <row r="56" spans="2:10">
      <c r="B56" s="6"/>
      <c r="C56" s="6"/>
      <c r="H56" s="4" t="s">
        <v>71</v>
      </c>
      <c r="I56" s="4" t="s">
        <v>107</v>
      </c>
      <c r="J56" s="4">
        <v>100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تقرير المبيعات الاسبوعي</vt:lpstr>
      <vt:lpstr>Map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Orange</dc:creator>
  <cp:lastModifiedBy>alaa wafaie</cp:lastModifiedBy>
  <cp:lastPrinted>2026-05-30T21:19:38Z</cp:lastPrinted>
  <dcterms:created xsi:type="dcterms:W3CDTF">2017-02-19T09:19:11Z</dcterms:created>
  <dcterms:modified xsi:type="dcterms:W3CDTF">2026-06-06T16:36:51Z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